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nb-relatorio\intranet\data\"/>
    </mc:Choice>
  </mc:AlternateContent>
  <xr:revisionPtr revIDLastSave="0" documentId="13_ncr:1_{5D1CCEC8-457B-4BC9-AF18-1743E7ADAF3A}" xr6:coauthVersionLast="47" xr6:coauthVersionMax="47" xr10:uidLastSave="{00000000-0000-0000-0000-000000000000}"/>
  <bookViews>
    <workbookView xWindow="-540" yWindow="2664" windowWidth="17280" windowHeight="8880" xr2:uid="{E967DCA8-6F1D-4C36-BFD5-DEAD6A877371}"/>
  </bookViews>
  <sheets>
    <sheet name="P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E5" i="1"/>
  <c r="E16" i="1"/>
  <c r="E39" i="1" s="1"/>
</calcChain>
</file>

<file path=xl/sharedStrings.xml><?xml version="1.0" encoding="utf-8"?>
<sst xmlns="http://schemas.openxmlformats.org/spreadsheetml/2006/main" count="59" uniqueCount="28">
  <si>
    <t xml:space="preserve">PAINEL DE RESULTADOS </t>
  </si>
  <si>
    <t>#</t>
  </si>
  <si>
    <t>KPI</t>
  </si>
  <si>
    <t>PTS TT</t>
  </si>
  <si>
    <t>PONTOS REVENDA</t>
  </si>
  <si>
    <t>YTD</t>
  </si>
  <si>
    <t>LE 25</t>
  </si>
  <si>
    <t>Meta</t>
  </si>
  <si>
    <t>Real</t>
  </si>
  <si>
    <t>TOOLS Falta Teórica</t>
  </si>
  <si>
    <t>Stockout Cesta Foco</t>
  </si>
  <si>
    <t>NPS PDV</t>
  </si>
  <si>
    <t>Volume Cerveja TT</t>
  </si>
  <si>
    <t>Volume NAB TT</t>
  </si>
  <si>
    <t>Volume Match</t>
  </si>
  <si>
    <t>TOTAL</t>
  </si>
  <si>
    <t>I. Atendimento ao Mercado</t>
  </si>
  <si>
    <t>Gestão de Ativo de Giro</t>
  </si>
  <si>
    <t>Expansão Industrial</t>
  </si>
  <si>
    <t>II.Resultado</t>
  </si>
  <si>
    <t>Volume Cerveja RGB</t>
  </si>
  <si>
    <t>Volume Cerveja High End</t>
  </si>
  <si>
    <t>Volume Cerveja  Sem Alcool</t>
  </si>
  <si>
    <t>Volume Refri Zero</t>
  </si>
  <si>
    <t>GMV Market Place 1P</t>
  </si>
  <si>
    <t>GMV Zé Delivery</t>
  </si>
  <si>
    <t>Distribuição de Marcas Foco</t>
  </si>
  <si>
    <t>Distribuição de Cerveja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</si>
</sst>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756B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AB5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thin">
        <color theme="7" tint="0.59999389629810485"/>
      </bottom>
      <diagonal/>
    </border>
    <border>
      <left style="hair">
        <color theme="0" tint="-0.14999847407452621"/>
      </left>
      <right style="hair">
        <color theme="0" tint="-0.14999847407452621"/>
      </right>
      <top style="thin">
        <color theme="7" tint="0.59999389629810485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 style="thin">
        <color theme="7" tint="0.59999389629810485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 style="thin">
        <color theme="7" tint="0.59999389629810485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/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 style="hair">
        <color theme="0" tint="-0.14999847407452621"/>
      </right>
      <top/>
      <bottom style="thin">
        <color theme="7" tint="0.5999938962981048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Continuous" vertical="center"/>
    </xf>
    <xf numFmtId="0" fontId="3" fillId="4" borderId="0" xfId="0" applyFont="1" applyFill="1" applyAlignment="1">
      <alignment horizontal="centerContinuous" vertical="center" wrapText="1"/>
    </xf>
    <xf numFmtId="0" fontId="3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9" fillId="5" borderId="3" xfId="1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4" fontId="3" fillId="5" borderId="4" xfId="1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64" fontId="9" fillId="5" borderId="7" xfId="1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 wrapText="1"/>
    </xf>
    <xf numFmtId="0" fontId="3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0" xfId="0" applyFont="1" applyFill="1" applyAlignment="1">
      <alignment horizontal="centerContinuous" vertical="center"/>
    </xf>
    <xf numFmtId="1" fontId="8" fillId="4" borderId="0" xfId="1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" fontId="8" fillId="4" borderId="2" xfId="1" applyNumberFormat="1" applyFont="1" applyFill="1" applyBorder="1" applyAlignment="1">
      <alignment vertical="center"/>
    </xf>
    <xf numFmtId="165" fontId="9" fillId="5" borderId="1" xfId="1" applyNumberFormat="1" applyFont="1" applyFill="1" applyBorder="1" applyAlignment="1">
      <alignment horizontal="center" vertical="center"/>
    </xf>
    <xf numFmtId="0" fontId="9" fillId="5" borderId="1" xfId="1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3" fontId="8" fillId="5" borderId="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E33-6EE6-459C-9170-FEBAFBF1DD81}">
  <dimension ref="C2:I39"/>
  <sheetViews>
    <sheetView tabSelected="1" topLeftCell="A20" workbookViewId="0">
      <selection activeCell="H31" sqref="H31"/>
    </sheetView>
  </sheetViews>
  <sheetFormatPr defaultRowHeight="14.4" x14ac:dyDescent="0.3"/>
  <cols>
    <col min="3" max="3" width="3" bestFit="1" customWidth="1"/>
    <col min="4" max="4" width="71.88671875" bestFit="1" customWidth="1"/>
    <col min="8" max="8" width="18.44140625" customWidth="1"/>
  </cols>
  <sheetData>
    <row r="2" spans="3:9" ht="47.4" x14ac:dyDescent="0.9">
      <c r="C2" s="67" t="s">
        <v>0</v>
      </c>
      <c r="D2" s="67"/>
      <c r="E2" s="67"/>
      <c r="F2" s="67"/>
      <c r="G2" s="67"/>
      <c r="H2" s="67"/>
      <c r="I2" s="67"/>
    </row>
    <row r="3" spans="3:9" x14ac:dyDescent="0.3">
      <c r="C3" s="1"/>
      <c r="D3" s="2"/>
      <c r="E3" s="1"/>
      <c r="F3" s="3"/>
      <c r="G3" s="1"/>
      <c r="H3" s="1"/>
      <c r="I3" s="3"/>
    </row>
    <row r="4" spans="3:9" ht="72" x14ac:dyDescent="0.3">
      <c r="C4" s="4" t="s">
        <v>1</v>
      </c>
      <c r="D4" s="5" t="s">
        <v>2</v>
      </c>
      <c r="E4" s="6" t="s">
        <v>3</v>
      </c>
      <c r="F4" s="7" t="s">
        <v>4</v>
      </c>
      <c r="G4" s="6" t="s">
        <v>1</v>
      </c>
      <c r="H4" s="6" t="s">
        <v>5</v>
      </c>
      <c r="I4" s="8" t="s">
        <v>6</v>
      </c>
    </row>
    <row r="5" spans="3:9" ht="18" x14ac:dyDescent="0.3">
      <c r="C5" s="9" t="s">
        <v>16</v>
      </c>
      <c r="D5" s="10"/>
      <c r="E5" s="11">
        <f>SUM(E6:E15)</f>
        <v>150</v>
      </c>
      <c r="F5" s="12"/>
      <c r="G5" s="11"/>
      <c r="H5" s="11"/>
      <c r="I5" s="12">
        <v>110</v>
      </c>
    </row>
    <row r="6" spans="3:9" x14ac:dyDescent="0.3">
      <c r="C6" s="39">
        <v>1</v>
      </c>
      <c r="D6" s="39" t="s">
        <v>9</v>
      </c>
      <c r="E6" s="41">
        <v>40</v>
      </c>
      <c r="F6" s="55">
        <v>40</v>
      </c>
      <c r="G6" s="14" t="s">
        <v>7</v>
      </c>
      <c r="H6" s="15">
        <v>1</v>
      </c>
      <c r="I6" s="55">
        <v>20</v>
      </c>
    </row>
    <row r="7" spans="3:9" x14ac:dyDescent="0.3">
      <c r="C7" s="40"/>
      <c r="D7" s="40"/>
      <c r="E7" s="42"/>
      <c r="F7" s="56"/>
      <c r="G7" s="16" t="s">
        <v>8</v>
      </c>
      <c r="H7" s="17">
        <v>1</v>
      </c>
      <c r="I7" s="56"/>
    </row>
    <row r="8" spans="3:9" x14ac:dyDescent="0.3">
      <c r="C8" s="43">
        <v>2</v>
      </c>
      <c r="D8" s="43" t="s">
        <v>10</v>
      </c>
      <c r="E8" s="44">
        <v>30</v>
      </c>
      <c r="F8" s="57">
        <v>30</v>
      </c>
      <c r="G8" s="18" t="s">
        <v>7</v>
      </c>
      <c r="H8" s="19">
        <v>1</v>
      </c>
      <c r="I8" s="55">
        <v>30</v>
      </c>
    </row>
    <row r="9" spans="3:9" x14ac:dyDescent="0.3">
      <c r="C9" s="40"/>
      <c r="D9" s="40"/>
      <c r="E9" s="42"/>
      <c r="F9" s="58"/>
      <c r="G9" s="16" t="s">
        <v>8</v>
      </c>
      <c r="H9" s="17">
        <v>1</v>
      </c>
      <c r="I9" s="56"/>
    </row>
    <row r="10" spans="3:9" x14ac:dyDescent="0.3">
      <c r="C10" s="43">
        <v>3</v>
      </c>
      <c r="D10" s="43" t="s">
        <v>11</v>
      </c>
      <c r="E10" s="44">
        <v>30</v>
      </c>
      <c r="F10" s="57">
        <v>30</v>
      </c>
      <c r="G10" s="18" t="s">
        <v>7</v>
      </c>
      <c r="H10" s="20">
        <v>0.63300000000000001</v>
      </c>
      <c r="I10" s="55">
        <v>30</v>
      </c>
    </row>
    <row r="11" spans="3:9" x14ac:dyDescent="0.3">
      <c r="C11" s="40"/>
      <c r="D11" s="40"/>
      <c r="E11" s="42"/>
      <c r="F11" s="58"/>
      <c r="G11" s="16" t="s">
        <v>8</v>
      </c>
      <c r="H11" s="21">
        <v>0.61699999999999999</v>
      </c>
      <c r="I11" s="56"/>
    </row>
    <row r="12" spans="3:9" ht="18" customHeight="1" x14ac:dyDescent="0.3">
      <c r="C12" s="49">
        <v>4</v>
      </c>
      <c r="D12" s="49" t="s">
        <v>17</v>
      </c>
      <c r="E12" s="47">
        <v>30</v>
      </c>
      <c r="F12" s="59">
        <v>30</v>
      </c>
      <c r="G12" s="18" t="s">
        <v>7</v>
      </c>
      <c r="H12" s="22">
        <v>1</v>
      </c>
      <c r="I12" s="62">
        <v>30</v>
      </c>
    </row>
    <row r="13" spans="3:9" x14ac:dyDescent="0.3">
      <c r="C13" s="50"/>
      <c r="D13" s="50"/>
      <c r="E13" s="51"/>
      <c r="F13" s="61"/>
      <c r="G13" s="16" t="s">
        <v>8</v>
      </c>
      <c r="H13" s="23">
        <v>1</v>
      </c>
      <c r="I13" s="55"/>
    </row>
    <row r="14" spans="3:9" x14ac:dyDescent="0.3">
      <c r="C14" s="43">
        <v>5</v>
      </c>
      <c r="D14" s="45" t="s">
        <v>18</v>
      </c>
      <c r="E14" s="47">
        <v>20</v>
      </c>
      <c r="F14" s="59">
        <v>20</v>
      </c>
      <c r="G14" s="14" t="s">
        <v>7</v>
      </c>
      <c r="H14" s="22">
        <v>1</v>
      </c>
      <c r="I14" s="55">
        <v>30</v>
      </c>
    </row>
    <row r="15" spans="3:9" x14ac:dyDescent="0.3">
      <c r="C15" s="40"/>
      <c r="D15" s="46"/>
      <c r="E15" s="48"/>
      <c r="F15" s="60"/>
      <c r="G15" s="16" t="s">
        <v>8</v>
      </c>
      <c r="H15" s="23">
        <v>1</v>
      </c>
      <c r="I15" s="56"/>
    </row>
    <row r="16" spans="3:9" ht="18" x14ac:dyDescent="0.3">
      <c r="C16" s="24" t="s">
        <v>19</v>
      </c>
      <c r="D16" s="25"/>
      <c r="E16" s="26">
        <f>SUM(E17:E38)</f>
        <v>350</v>
      </c>
      <c r="F16" s="27"/>
      <c r="G16" s="26"/>
      <c r="H16" s="28"/>
      <c r="I16" s="27"/>
    </row>
    <row r="17" spans="3:9" x14ac:dyDescent="0.3">
      <c r="C17" s="41">
        <v>6</v>
      </c>
      <c r="D17" s="43" t="s">
        <v>12</v>
      </c>
      <c r="E17" s="41">
        <v>50</v>
      </c>
      <c r="F17" s="56">
        <v>50</v>
      </c>
      <c r="G17" s="14" t="s">
        <v>7</v>
      </c>
      <c r="H17" s="38">
        <v>80000</v>
      </c>
      <c r="I17" s="56">
        <v>30</v>
      </c>
    </row>
    <row r="18" spans="3:9" x14ac:dyDescent="0.3">
      <c r="C18" s="42"/>
      <c r="D18" s="40"/>
      <c r="E18" s="42"/>
      <c r="F18" s="58"/>
      <c r="G18" s="16" t="s">
        <v>8</v>
      </c>
      <c r="H18" s="35">
        <v>84856.12</v>
      </c>
      <c r="I18" s="58"/>
    </row>
    <row r="19" spans="3:9" x14ac:dyDescent="0.3">
      <c r="C19" s="44">
        <v>7</v>
      </c>
      <c r="D19" s="43" t="s">
        <v>20</v>
      </c>
      <c r="E19" s="44">
        <v>50</v>
      </c>
      <c r="F19" s="57">
        <v>50</v>
      </c>
      <c r="G19" s="18" t="s">
        <v>7</v>
      </c>
      <c r="H19" s="38">
        <v>30000</v>
      </c>
      <c r="I19" s="57">
        <v>30</v>
      </c>
    </row>
    <row r="20" spans="3:9" x14ac:dyDescent="0.3">
      <c r="C20" s="42"/>
      <c r="D20" s="40"/>
      <c r="E20" s="42"/>
      <c r="F20" s="58"/>
      <c r="G20" s="16" t="s">
        <v>8</v>
      </c>
      <c r="H20" s="35">
        <v>37591.72</v>
      </c>
      <c r="I20" s="58"/>
    </row>
    <row r="21" spans="3:9" x14ac:dyDescent="0.3">
      <c r="C21" s="44">
        <v>8</v>
      </c>
      <c r="D21" s="43" t="s">
        <v>21</v>
      </c>
      <c r="E21" s="44">
        <v>50</v>
      </c>
      <c r="F21" s="63">
        <v>50</v>
      </c>
      <c r="G21" s="18" t="s">
        <v>7</v>
      </c>
      <c r="H21" s="38">
        <v>0</v>
      </c>
      <c r="I21" s="57">
        <v>0</v>
      </c>
    </row>
    <row r="22" spans="3:9" x14ac:dyDescent="0.3">
      <c r="C22" s="42"/>
      <c r="D22" s="40"/>
      <c r="E22" s="42"/>
      <c r="F22" s="64"/>
      <c r="G22" s="16" t="s">
        <v>8</v>
      </c>
      <c r="H22" s="35">
        <v>12351.48</v>
      </c>
      <c r="I22" s="58"/>
    </row>
    <row r="23" spans="3:9" x14ac:dyDescent="0.3">
      <c r="C23" s="44">
        <v>9</v>
      </c>
      <c r="D23" s="43" t="s">
        <v>22</v>
      </c>
      <c r="E23" s="44">
        <v>30</v>
      </c>
      <c r="F23" s="63">
        <v>30</v>
      </c>
      <c r="G23" s="18" t="s">
        <v>7</v>
      </c>
      <c r="H23" s="38">
        <v>0</v>
      </c>
      <c r="I23" s="57">
        <v>30</v>
      </c>
    </row>
    <row r="24" spans="3:9" x14ac:dyDescent="0.3">
      <c r="C24" s="42"/>
      <c r="D24" s="40"/>
      <c r="E24" s="42"/>
      <c r="F24" s="64"/>
      <c r="G24" s="16" t="s">
        <v>8</v>
      </c>
      <c r="H24" s="35">
        <v>1158.75</v>
      </c>
      <c r="I24" s="58"/>
    </row>
    <row r="25" spans="3:9" x14ac:dyDescent="0.3">
      <c r="C25" s="44">
        <v>10</v>
      </c>
      <c r="D25" s="43" t="s">
        <v>13</v>
      </c>
      <c r="E25" s="44">
        <v>40</v>
      </c>
      <c r="F25" s="63">
        <v>0</v>
      </c>
      <c r="G25" s="18" t="s">
        <v>7</v>
      </c>
      <c r="H25" s="38">
        <v>0</v>
      </c>
      <c r="I25" s="57">
        <v>0</v>
      </c>
    </row>
    <row r="26" spans="3:9" x14ac:dyDescent="0.3">
      <c r="C26" s="42"/>
      <c r="D26" s="40"/>
      <c r="E26" s="42"/>
      <c r="F26" s="64"/>
      <c r="G26" s="16" t="s">
        <v>8</v>
      </c>
      <c r="H26" s="35">
        <v>8067.43</v>
      </c>
      <c r="I26" s="58"/>
    </row>
    <row r="27" spans="3:9" x14ac:dyDescent="0.3">
      <c r="C27" s="48">
        <v>11</v>
      </c>
      <c r="D27" s="52" t="s">
        <v>23</v>
      </c>
      <c r="E27" s="48">
        <v>20</v>
      </c>
      <c r="F27" s="63">
        <v>0</v>
      </c>
      <c r="G27" s="29" t="s">
        <v>7</v>
      </c>
      <c r="H27" s="38">
        <v>0</v>
      </c>
      <c r="I27" s="57">
        <v>0</v>
      </c>
    </row>
    <row r="28" spans="3:9" x14ac:dyDescent="0.3">
      <c r="C28" s="41"/>
      <c r="D28" s="39"/>
      <c r="E28" s="41"/>
      <c r="F28" s="64"/>
      <c r="G28" s="13" t="s">
        <v>8</v>
      </c>
      <c r="H28" s="35">
        <v>1958.32</v>
      </c>
      <c r="I28" s="58"/>
    </row>
    <row r="29" spans="3:9" x14ac:dyDescent="0.3">
      <c r="C29" s="54">
        <v>12</v>
      </c>
      <c r="D29" s="53" t="s">
        <v>14</v>
      </c>
      <c r="E29" s="54">
        <v>30</v>
      </c>
      <c r="F29" s="63">
        <v>0</v>
      </c>
      <c r="G29" s="29" t="s">
        <v>7</v>
      </c>
      <c r="H29" s="38">
        <v>0</v>
      </c>
      <c r="I29" s="59">
        <v>0</v>
      </c>
    </row>
    <row r="30" spans="3:9" x14ac:dyDescent="0.3">
      <c r="C30" s="48"/>
      <c r="D30" s="52"/>
      <c r="E30" s="48"/>
      <c r="F30" s="64"/>
      <c r="G30" s="13" t="s">
        <v>8</v>
      </c>
      <c r="H30" s="35">
        <v>353.22</v>
      </c>
      <c r="I30" s="55"/>
    </row>
    <row r="31" spans="3:9" x14ac:dyDescent="0.3">
      <c r="C31" s="41">
        <v>13</v>
      </c>
      <c r="D31" s="39" t="s">
        <v>24</v>
      </c>
      <c r="E31" s="41">
        <v>20</v>
      </c>
      <c r="F31" s="63">
        <v>0</v>
      </c>
      <c r="G31" s="14" t="s">
        <v>7</v>
      </c>
      <c r="H31" s="38">
        <v>2000000</v>
      </c>
      <c r="I31" s="56">
        <v>0</v>
      </c>
    </row>
    <row r="32" spans="3:9" x14ac:dyDescent="0.3">
      <c r="C32" s="41"/>
      <c r="D32" s="39"/>
      <c r="E32" s="41"/>
      <c r="F32" s="64"/>
      <c r="G32" s="13" t="s">
        <v>8</v>
      </c>
      <c r="H32" s="35">
        <v>2356303.62</v>
      </c>
      <c r="I32" s="56"/>
    </row>
    <row r="33" spans="3:9" x14ac:dyDescent="0.3">
      <c r="C33" s="41">
        <v>14</v>
      </c>
      <c r="D33" s="39" t="s">
        <v>25</v>
      </c>
      <c r="E33" s="41">
        <v>20</v>
      </c>
      <c r="F33" s="63">
        <v>0</v>
      </c>
      <c r="G33" s="14" t="s">
        <v>7</v>
      </c>
      <c r="H33" s="37">
        <v>0</v>
      </c>
      <c r="I33" s="63">
        <v>0</v>
      </c>
    </row>
    <row r="34" spans="3:9" x14ac:dyDescent="0.3">
      <c r="C34" s="42"/>
      <c r="D34" s="40"/>
      <c r="E34" s="42"/>
      <c r="F34" s="64"/>
      <c r="G34" s="16" t="s">
        <v>8</v>
      </c>
      <c r="H34" s="36">
        <v>0</v>
      </c>
      <c r="I34" s="64"/>
    </row>
    <row r="35" spans="3:9" x14ac:dyDescent="0.3">
      <c r="C35" s="44">
        <v>15</v>
      </c>
      <c r="D35" s="43" t="s">
        <v>26</v>
      </c>
      <c r="E35" s="44">
        <v>20</v>
      </c>
      <c r="F35" s="63">
        <v>0</v>
      </c>
      <c r="G35" s="18" t="s">
        <v>7</v>
      </c>
      <c r="H35" s="37">
        <v>0</v>
      </c>
      <c r="I35" s="65">
        <v>0</v>
      </c>
    </row>
    <row r="36" spans="3:9" x14ac:dyDescent="0.3">
      <c r="C36" s="42"/>
      <c r="D36" s="53"/>
      <c r="E36" s="54"/>
      <c r="F36" s="64"/>
      <c r="G36" s="30" t="s">
        <v>8</v>
      </c>
      <c r="H36" s="36">
        <v>0</v>
      </c>
      <c r="I36" s="66"/>
    </row>
    <row r="37" spans="3:9" x14ac:dyDescent="0.3">
      <c r="C37" s="41">
        <v>16</v>
      </c>
      <c r="D37" s="39" t="s">
        <v>27</v>
      </c>
      <c r="E37" s="41">
        <v>20</v>
      </c>
      <c r="F37" s="63">
        <v>0</v>
      </c>
      <c r="G37" s="14" t="s">
        <v>7</v>
      </c>
      <c r="H37" s="37">
        <v>0</v>
      </c>
      <c r="I37" s="63">
        <v>0</v>
      </c>
    </row>
    <row r="38" spans="3:9" x14ac:dyDescent="0.3">
      <c r="C38" s="42"/>
      <c r="D38" s="40"/>
      <c r="E38" s="42"/>
      <c r="F38" s="64"/>
      <c r="G38" s="16" t="s">
        <v>8</v>
      </c>
      <c r="H38" s="36">
        <v>0</v>
      </c>
      <c r="I38" s="64"/>
    </row>
    <row r="39" spans="3:9" ht="18" x14ac:dyDescent="0.3">
      <c r="C39" s="31" t="s">
        <v>15</v>
      </c>
      <c r="D39" s="10"/>
      <c r="E39" s="11">
        <f>SUM(E16,E5)</f>
        <v>500</v>
      </c>
      <c r="F39" s="32">
        <f>SUM(F6:F15,F17:F38)</f>
        <v>330</v>
      </c>
      <c r="G39" s="11"/>
      <c r="H39" s="33"/>
      <c r="I39" s="34"/>
    </row>
  </sheetData>
  <mergeCells count="81">
    <mergeCell ref="I33:I34"/>
    <mergeCell ref="I35:I36"/>
    <mergeCell ref="I37:I38"/>
    <mergeCell ref="C2:I2"/>
    <mergeCell ref="I21:I22"/>
    <mergeCell ref="I23:I24"/>
    <mergeCell ref="I25:I26"/>
    <mergeCell ref="I27:I28"/>
    <mergeCell ref="I29:I30"/>
    <mergeCell ref="I31:I32"/>
    <mergeCell ref="F33:F34"/>
    <mergeCell ref="F35:F36"/>
    <mergeCell ref="F37:F38"/>
    <mergeCell ref="I6:I7"/>
    <mergeCell ref="I8:I9"/>
    <mergeCell ref="I10:I11"/>
    <mergeCell ref="I14:I15"/>
    <mergeCell ref="I17:I18"/>
    <mergeCell ref="I19:I20"/>
    <mergeCell ref="I12:I13"/>
    <mergeCell ref="C37:C38"/>
    <mergeCell ref="D37:D38"/>
    <mergeCell ref="E37:E38"/>
    <mergeCell ref="F31:F32"/>
    <mergeCell ref="F19:F20"/>
    <mergeCell ref="F21:F22"/>
    <mergeCell ref="F23:F24"/>
    <mergeCell ref="F25:F26"/>
    <mergeCell ref="F27:F28"/>
    <mergeCell ref="F29:F30"/>
    <mergeCell ref="C33:C34"/>
    <mergeCell ref="D33:D34"/>
    <mergeCell ref="F6:F7"/>
    <mergeCell ref="F8:F9"/>
    <mergeCell ref="F10:F11"/>
    <mergeCell ref="F14:F15"/>
    <mergeCell ref="F17:F18"/>
    <mergeCell ref="F12:F13"/>
    <mergeCell ref="E33:E34"/>
    <mergeCell ref="C35:C36"/>
    <mergeCell ref="D35:D36"/>
    <mergeCell ref="E35:E36"/>
    <mergeCell ref="C29:C30"/>
    <mergeCell ref="D29:D30"/>
    <mergeCell ref="E29:E30"/>
    <mergeCell ref="C31:C32"/>
    <mergeCell ref="D31:D32"/>
    <mergeCell ref="E31:E32"/>
    <mergeCell ref="C25:C26"/>
    <mergeCell ref="D25:D26"/>
    <mergeCell ref="E25:E26"/>
    <mergeCell ref="C27:C28"/>
    <mergeCell ref="D27:D28"/>
    <mergeCell ref="E27:E28"/>
    <mergeCell ref="C21:C22"/>
    <mergeCell ref="D21:D22"/>
    <mergeCell ref="E21:E22"/>
    <mergeCell ref="C23:C24"/>
    <mergeCell ref="D23:D24"/>
    <mergeCell ref="E23:E24"/>
    <mergeCell ref="C17:C18"/>
    <mergeCell ref="D17:D18"/>
    <mergeCell ref="E17:E18"/>
    <mergeCell ref="C19:C20"/>
    <mergeCell ref="D19:D20"/>
    <mergeCell ref="E19:E20"/>
    <mergeCell ref="C10:C11"/>
    <mergeCell ref="D10:D11"/>
    <mergeCell ref="E10:E11"/>
    <mergeCell ref="C14:C15"/>
    <mergeCell ref="D14:D15"/>
    <mergeCell ref="E14:E15"/>
    <mergeCell ref="C12:C13"/>
    <mergeCell ref="D12:D13"/>
    <mergeCell ref="E12:E13"/>
    <mergeCell ref="C6:C7"/>
    <mergeCell ref="D6:D7"/>
    <mergeCell ref="E6:E7"/>
    <mergeCell ref="C8:C9"/>
    <mergeCell ref="D8:D9"/>
    <mergeCell ref="E8:E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cnb01</dc:creator>
  <cp:lastModifiedBy>Office cnb01</cp:lastModifiedBy>
  <dcterms:created xsi:type="dcterms:W3CDTF">2026-04-01T19:17:52Z</dcterms:created>
  <dcterms:modified xsi:type="dcterms:W3CDTF">2026-04-09T13:05:45Z</dcterms:modified>
</cp:coreProperties>
</file>